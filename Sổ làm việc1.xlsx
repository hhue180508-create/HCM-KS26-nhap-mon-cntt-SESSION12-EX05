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Thong_Web_Logs\SESSION 12\ex05\"/>
    </mc:Choice>
  </mc:AlternateContent>
  <xr:revisionPtr revIDLastSave="0" documentId="8_{FB958265-39FB-40A8-BC51-8C54FEDF6075}" xr6:coauthVersionLast="47" xr6:coauthVersionMax="47" xr10:uidLastSave="{00000000-0000-0000-0000-000000000000}"/>
  <bookViews>
    <workbookView xWindow="-204" yWindow="1800" windowWidth="8556" windowHeight="9960" firstSheet="1" activeTab="1" xr2:uid="{A4613084-82ED-4B45-B02A-A0C1070EFE74}"/>
  </bookViews>
  <sheets>
    <sheet name="CoSoVirus" sheetId="1" r:id="rId1"/>
    <sheet name="NhatK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5" i="2"/>
  <c r="D3" i="2"/>
  <c r="D4" i="2"/>
  <c r="D5" i="2"/>
  <c r="E2" i="2"/>
  <c r="D2" i="2"/>
</calcChain>
</file>

<file path=xl/sharedStrings.xml><?xml version="1.0" encoding="utf-8"?>
<sst xmlns="http://schemas.openxmlformats.org/spreadsheetml/2006/main" count="33" uniqueCount="26">
  <si>
    <t>Mã mã độc</t>
  </si>
  <si>
    <t>Tên mã độc</t>
  </si>
  <si>
    <t>Mức độ</t>
  </si>
  <si>
    <t>Khuyến nghị</t>
  </si>
  <si>
    <t>MAL001</t>
  </si>
  <si>
    <t>Trojan</t>
  </si>
  <si>
    <t>Cao</t>
  </si>
  <si>
    <t>Cách ly thiết bị</t>
  </si>
  <si>
    <t>MAL002</t>
  </si>
  <si>
    <t>Ransomware</t>
  </si>
  <si>
    <t>Nghiêm trọng</t>
  </si>
  <si>
    <t>Ngắt kết nối mạng</t>
  </si>
  <si>
    <t>MAL003</t>
  </si>
  <si>
    <t>Spyware</t>
  </si>
  <si>
    <t>Trung bình</t>
  </si>
  <si>
    <t>Quét và loại bỏ mã độc</t>
  </si>
  <si>
    <t>MAL004</t>
  </si>
  <si>
    <t>Worm</t>
  </si>
  <si>
    <t>Kiểm tra thiết bị trong mạng</t>
  </si>
  <si>
    <t>Mã cảnh báo</t>
  </si>
  <si>
    <t>Máy tính</t>
  </si>
  <si>
    <t>Thời gian</t>
  </si>
  <si>
    <t>PC-01</t>
  </si>
  <si>
    <t>PC-02</t>
  </si>
  <si>
    <t>PC-03</t>
  </si>
  <si>
    <t>PC-04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</si>
</sst>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Bình thường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5" formatCode="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8C4F0-CF33-4033-A9F8-420A78666F66}" name="Table1" displayName="Table1" ref="A1:E5" totalsRowShown="0" headerRowDxfId="0" dataDxfId="1">
  <autoFilter ref="A1:E5" xr:uid="{B528C4F0-CF33-4033-A9F8-420A78666F66}"/>
  <tableColumns count="5">
    <tableColumn id="1" xr3:uid="{8680C227-6983-4275-8BA2-38B5099AA1C2}" name="Mã cảnh báo" dataDxfId="6"/>
    <tableColumn id="2" xr3:uid="{F268D460-FB96-490C-A532-0BFAAF3A6B06}" name="Máy tính" dataDxfId="5"/>
    <tableColumn id="3" xr3:uid="{13C9FD83-331A-4C3C-8BCA-963F9AC7D33D}" name="Thời gian" dataDxfId="4"/>
    <tableColumn id="4" xr3:uid="{412E4849-A88B-45C0-A904-600562A6880A}" name="Tên mã độc" dataDxfId="3">
      <calculatedColumnFormula>IFERROR(VLOOKUP(TRIM(A2),CoSoVirus!$A$2:$D$100,2,FALSE),"Không tìm thấy mã")</calculatedColumnFormula>
    </tableColumn>
    <tableColumn id="5" xr3:uid="{48B8EB0C-74B4-41AD-93EA-76DE81BF90B9}" name="Mức độ" dataDxfId="2">
      <calculatedColumnFormula>IFERROR(VLOOKUP(TRIM(A2),CoSoVirus!$A$2:$D$100,3,FALSE),"Không tìm thấy mã")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DA16-418C-4978-A1E2-D255974BCF0E}">
  <dimension ref="A1:D5"/>
  <sheetViews>
    <sheetView workbookViewId="0">
      <selection sqref="A1:D5"/>
    </sheetView>
  </sheetViews>
  <sheetFormatPr defaultRowHeight="13.8" x14ac:dyDescent="0.25"/>
  <cols>
    <col min="1" max="1" width="11.296875" customWidth="1"/>
    <col min="2" max="2" width="11.5" customWidth="1"/>
    <col min="3" max="3" width="12.8984375" customWidth="1"/>
    <col min="4" max="4" width="20.3984375" customWidth="1"/>
  </cols>
  <sheetData>
    <row r="1" spans="1:4" ht="27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7.6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27.6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41.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ht="55.2" x14ac:dyDescent="0.25">
      <c r="A5" s="2" t="s">
        <v>16</v>
      </c>
      <c r="B5" s="2" t="s">
        <v>17</v>
      </c>
      <c r="C5" s="2" t="s">
        <v>6</v>
      </c>
      <c r="D5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CB3F-85A0-4F4B-9147-A310DD4845AA}">
  <dimension ref="A1:E5"/>
  <sheetViews>
    <sheetView tabSelected="1" workbookViewId="0">
      <selection activeCell="B8" sqref="B8"/>
    </sheetView>
  </sheetViews>
  <sheetFormatPr defaultRowHeight="13.8" x14ac:dyDescent="0.25"/>
  <cols>
    <col min="1" max="1" width="13.5" customWidth="1"/>
    <col min="2" max="2" width="10" customWidth="1"/>
    <col min="3" max="3" width="10.796875" customWidth="1"/>
    <col min="4" max="4" width="12.69921875" customWidth="1"/>
    <col min="5" max="5" width="11.8984375" customWidth="1"/>
  </cols>
  <sheetData>
    <row r="1" spans="1:5" ht="27.6" x14ac:dyDescent="0.25">
      <c r="A1" s="1" t="s">
        <v>19</v>
      </c>
      <c r="B1" s="1" t="s">
        <v>20</v>
      </c>
      <c r="C1" s="1" t="s">
        <v>21</v>
      </c>
      <c r="D1" s="1" t="s">
        <v>1</v>
      </c>
      <c r="E1" s="1" t="s">
        <v>2</v>
      </c>
    </row>
    <row r="2" spans="1:5" x14ac:dyDescent="0.25">
      <c r="A2" s="2" t="s">
        <v>4</v>
      </c>
      <c r="B2" s="2" t="s">
        <v>22</v>
      </c>
      <c r="C2" s="3">
        <v>0.35416666666666669</v>
      </c>
      <c r="D2" s="2" t="str">
        <f>IFERROR(VLOOKUP(TRIM(A2),CoSoVirus!$A$2:$D$100,2,FALSE),"Không tìm thấy mã")</f>
        <v>Trojan</v>
      </c>
      <c r="E2" s="2" t="str">
        <f>IFERROR(VLOOKUP(TRIM(A2),CoSoVirus!$A$2:$D$100,3,FALSE),"Không tìm thấy mã")</f>
        <v>Cao</v>
      </c>
    </row>
    <row r="3" spans="1:5" ht="27.6" x14ac:dyDescent="0.25">
      <c r="A3" s="2" t="s">
        <v>8</v>
      </c>
      <c r="B3" s="2" t="s">
        <v>23</v>
      </c>
      <c r="C3" s="3">
        <v>0.38541666666666669</v>
      </c>
      <c r="D3" s="2" t="str">
        <f>IFERROR(VLOOKUP(TRIM(A3),CoSoVirus!$A$2:$D$100,2,FALSE),"Không tìm thấy mã")</f>
        <v>Ransomware</v>
      </c>
      <c r="E3" s="2" t="str">
        <f>IFERROR(VLOOKUP(TRIM(A3),CoSoVirus!$A$2:$D$100,3,FALSE),"Không tìm thấy mã")</f>
        <v>Nghiêm trọng</v>
      </c>
    </row>
    <row r="4" spans="1:5" x14ac:dyDescent="0.25">
      <c r="A4" s="2" t="s">
        <v>12</v>
      </c>
      <c r="B4" s="2" t="s">
        <v>24</v>
      </c>
      <c r="C4" s="3">
        <v>0.43055555555555558</v>
      </c>
      <c r="D4" s="2" t="str">
        <f>IFERROR(VLOOKUP(TRIM(A4),CoSoVirus!$A$2:$D$100,2,FALSE),"Không tìm thấy mã")</f>
        <v>Spyware</v>
      </c>
      <c r="E4" s="2" t="str">
        <f>IFERROR(VLOOKUP(TRIM(A4),CoSoVirus!$A$2:$D$100,3,FALSE),"Không tìm thấy mã")</f>
        <v>Trung bình</v>
      </c>
    </row>
    <row r="5" spans="1:5" x14ac:dyDescent="0.25">
      <c r="A5" s="2" t="s">
        <v>16</v>
      </c>
      <c r="B5" s="2" t="s">
        <v>25</v>
      </c>
      <c r="C5" s="3">
        <v>0.46180555555555558</v>
      </c>
      <c r="D5" s="2" t="str">
        <f>IFERROR(VLOOKUP(TRIM(A5),CoSoVirus!$A$2:$D$100,2,FALSE),"Không tìm thấy mã")</f>
        <v>Worm</v>
      </c>
      <c r="E5" s="2" t="str">
        <f>IFERROR(VLOOKUP(TRIM(A5),CoSoVirus!$A$2:$D$100,3,FALSE),"Không tìm thấy mã")</f>
        <v>Cao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CoSoVirus</vt:lpstr>
      <vt:lpstr>NhatKy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Huệ Hồng</dc:creator>
  <cp:lastModifiedBy>Huệ Hồng</cp:lastModifiedBy>
  <dcterms:created xsi:type="dcterms:W3CDTF">2026-10-26T16:24:41Z</dcterms:created>
  <dcterms:modified xsi:type="dcterms:W3CDTF">2026-10-26T16:30:03Z</dcterms:modified>
</cp:coreProperties>
</file>